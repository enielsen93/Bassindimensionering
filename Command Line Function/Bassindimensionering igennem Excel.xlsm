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Makroer &amp; Beregningsark\Bassindimensionering\Command Line Function\"/>
    </mc:Choice>
  </mc:AlternateContent>
  <xr:revisionPtr revIDLastSave="0" documentId="13_ncr:1_{CDD8C4D8-C2D0-480C-A078-E6469D0788C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6" i="1" a="1"/>
  <c r="B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<sst xmlns="http://schemas.openxmlformats.org/spreadsheetml/2006/main" count="12" uniqueCount="11">
  <si>
    <t>Areal</t>
  </si>
  <si>
    <t>Befæstet areal</t>
  </si>
  <si>
    <t>Udledning</t>
  </si>
  <si>
    <t>Sikkerhedsfaktor</t>
  </si>
  <si>
    <t>Hydrologisk reduktionsfaktor</t>
  </si>
  <si>
    <t>Bassindimensionering</t>
  </si>
  <si>
    <t>SVK-bassin</t>
  </si>
  <si>
    <t>ha</t>
  </si>
  <si>
    <t>bef. ha</t>
  </si>
  <si>
    <t>L/s</t>
  </si>
  <si>
    <t>m³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</si>
</sst>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7"/>
  <sheetViews>
    <sheetView tabSelected="1" workbookViewId="0">
      <selection activeCell="C6" sqref="C6"/>
    </sheetView>
  </sheetViews>
  <sheetFormatPr defaultRowHeight="15" x14ac:dyDescent="0.25"/>
  <cols>
    <col min="1" max="1" width="27.28515625" bestFit="1" customWidth="1"/>
  </cols>
  <sheetData>
    <row r="1" spans="1:3" x14ac:dyDescent="0.25">
      <c r="A1" t="s">
        <v>0</v>
      </c>
      <c r="B1">
        <v>58.48</v>
      </c>
      <c r="C1" t="s">
        <v>7</v>
      </c>
    </row>
    <row r="2" spans="1:3" x14ac:dyDescent="0.25">
      <c r="A2" t="s">
        <v>1</v>
      </c>
      <c r="B2">
        <v>28</v>
      </c>
      <c r="C2" t="s">
        <v>8</v>
      </c>
    </row>
    <row r="3" spans="1:3" x14ac:dyDescent="0.25">
      <c r="A3" t="s">
        <v>2</v>
      </c>
      <c r="B3">
        <f>B1*2</f>
        <v>116.96</v>
      </c>
      <c r="C3" t="s">
        <v>9</v>
      </c>
    </row>
    <row r="4" spans="1:3" x14ac:dyDescent="0.25">
      <c r="A4" t="s">
        <v>3</v>
      </c>
      <c r="B4">
        <v>1.2</v>
      </c>
    </row>
    <row r="5" spans="1:3" x14ac:dyDescent="0.25">
      <c r="A5" t="s">
        <v>4</v>
      </c>
      <c r="B5">
        <v>0.9</v>
      </c>
    </row>
    <row r="6" spans="1:3" x14ac:dyDescent="0.25">
      <c r="A6" t="s">
        <v>5</v>
      </c>
      <c r="B6" cm="1">
        <f t="array" ref="B6">Calculate_basin("\\files\Projects\RWA2022N000XX\RWA2022N00009\_Modtaget_modeller\Regnserier\Viby_godkendte_1979_2018.txt",10,38,B2,B3,B4*B5,0)</f>
        <v>10502</v>
      </c>
      <c r="C6" t="s">
        <v>10</v>
      </c>
    </row>
    <row r="7" spans="1:3" x14ac:dyDescent="0.25">
      <c r="A7" t="s">
        <v>6</v>
      </c>
      <c r="B7">
        <v>11000</v>
      </c>
      <c r="C7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Emil Nielsen</dc:creator>
  <cp:lastModifiedBy>Emil Nielsen</cp:lastModifiedBy>
  <dcterms:created xsi:type="dcterms:W3CDTF">2015-06-05T18:17:20Z</dcterms:created>
  <dcterms:modified xsi:type="dcterms:W3CDTF">2023-06-01T07:39:18Z</dcterms:modified>
</cp:coreProperties>
</file>